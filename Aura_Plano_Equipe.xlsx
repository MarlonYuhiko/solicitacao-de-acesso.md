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40f61f1b0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ão Geral" sheetId="1" r:id="R5abb853e62584765"/>
    <x:sheet xmlns:r="http://schemas.openxmlformats.org/officeDocument/2006/relationships" name="Responsabilidades" sheetId="2" r:id="R6c26998a927146aa"/>
    <x:sheet xmlns:r="http://schemas.openxmlformats.org/officeDocument/2006/relationships" name="Cronograma" sheetId="3" r:id="Rb8a48f1c90814699"/>
    <x:sheet xmlns:r="http://schemas.openxmlformats.org/officeDocument/2006/relationships" name="Backlog Inicial" sheetId="4" r:id="Rf6caa25999e84912"/>
    <x:sheet xmlns:r="http://schemas.openxmlformats.org/officeDocument/2006/relationships" name="Conhecimentos" sheetId="5" r:id="Rea52507bd9b94a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  <x:font>
      <x:b/>
      <x:sz val="11"/>
      <x:color rgb="FF7C3AED"/>
      <x:name val="Carlito"/>
    </x:font>
    <x:font>
      <x:i/>
      <x:sz val="11"/>
      <x:color rgb="FF475569"/>
      <x:name val="Carlito"/>
    </x:font>
    <x:font>
      <x:b/>
      <x:sz val="11"/>
      <x:color rgb="FF475569"/>
      <x:name val="Carlito"/>
    </x:font>
    <x:font>
      <x:b/>
      <x:sz val="14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0F2FE"/>
      </x:patternFill>
    </x:fill>
    <x:fill>
      <x:patternFill patternType="solid">
        <x:fgColor rgb="FF2563EB"/>
      </x:patternFill>
    </x:fill>
    <x:fill>
      <x:patternFill patternType="solid">
        <x:fgColor rgb="FF7C3AED"/>
      </x:patternFill>
    </x:fill>
    <x:fill>
      <x:patternFill patternType="solid">
        <x:fgColor rgb="FFF5F3FF"/>
      </x:patternFill>
    </x:fill>
    <x:fill>
      <x:patternFill patternType="solid">
        <x:fgColor rgb="FFDCEAFE"/>
      </x:patternFill>
    </x:fill>
    <x:fill>
      <x:patternFill patternType="solid">
        <x:fgColor rgb="FF16A34A"/>
      </x:patternFill>
    </x:fill>
    <x:fill>
      <x:patternFill patternType="solid">
        <x:fgColor rgb="FFECFDF5"/>
      </x:patternFill>
    </x:fill>
    <x:fill>
      <x:patternFill patternType="solid">
        <x:fgColor rgb="FFD97706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FEF2F2"/>
      </x:patternFill>
    </x:fill>
    <x:fill>
      <x:patternFill patternType="solid">
        <x:fgColor rgb="FF0EA5E9"/>
      </x:patternFill>
    </x:fill>
  </x:fills>
  <x:borders count="2">
    <x:border/>
    <x:border/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0" fillId="11" borderId="1" xfId="0" applyNumberFormat="1" applyFont="1" applyFill="1" applyBorder="1"/>
    <x:xf numFmtId="0" fontId="2" fillId="11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center" vertical="center"/>
    </x:xf>
    <x:xf numFmtId="0" fontId="2" fillId="9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2" fillId="11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horizontal="center" vertical="center"/>
    </x:xf>
    <x:xf numFmtId="0" fontId="2" fillId="9" borderId="1" xfId="0" applyNumberFormat="1" applyFont="1" applyFill="1" applyBorder="1" applyAlignment="1">
      <x:alignment vertical="center"/>
    </x:xf>
    <x:xf numFmtId="0" fontId="3" fillId="10" borderId="1" xfId="0" applyNumberFormat="1" applyFont="1" applyFill="1" applyBorder="1" applyAlignment="1">
      <x:alignment horizontal="center" vertical="center"/>
    </x:xf>
    <x:xf numFmtId="0" fontId="2" fillId="11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 applyAlignment="1">
      <x:alignment wrapText="1"/>
    </x:xf>
    <x:xf numFmtId="0" fontId="2" fillId="13" borderId="1" xfId="0" applyNumberFormat="1" applyFont="1" applyFill="1" applyBorder="1" applyAlignment="1">
      <x:alignment wrapText="1"/>
    </x:xf>
    <x:xf numFmtId="0" fontId="6" fillId="13" borderId="1" xfId="0" applyNumberFormat="1" applyFont="1" applyFill="1" applyBorder="1" applyAlignment="1">
      <x:alignment horizontal="center" wrapText="1"/>
    </x:xf>
    <x:xf numFmtId="0" fontId="0" fillId="13" borderId="1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horizontal="center" wrapText="1"/>
    </x:xf>
    <x:xf numFmtId="0" fontId="6" fillId="12" borderId="1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horizontal="center" wrapText="1"/>
    </x:xf>
    <x:xf numFmtId="0" fontId="0" fillId="9" borderId="1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horizontal="center" wrapText="1"/>
    </x:xf>
    <x:xf numFmtId="0" fontId="0" fillId="11" borderId="0" xfId="0" applyNumberFormat="1" applyFont="1" applyFill="1" applyBorder="1" applyAlignment="1">
      <x:alignment wrapText="1"/>
    </x:xf>
    <x:xf numFmtId="0" fontId="2" fillId="11" borderId="1" xfId="0" applyNumberFormat="1" applyFont="1" applyFill="1" applyBorder="1" applyAlignment="1">
      <x:alignment wrapText="1"/>
    </x:xf>
    <x:xf numFmtId="0" fontId="6" fillId="11" borderId="1" xfId="0" applyNumberFormat="1" applyFont="1" applyFill="1" applyBorder="1" applyAlignment="1">
      <x:alignment horizontal="center" wrapText="1"/>
    </x:xf>
    <x:xf numFmtId="0" fontId="0" fillId="11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 applyAlignment="1">
      <x:alignment wrapText="1"/>
    </x:xf>
    <x:xf numFmtId="0" fontId="2" fillId="14" borderId="1" xfId="0" applyNumberFormat="1" applyFont="1" applyFill="1" applyBorder="1" applyAlignment="1">
      <x:alignment wrapText="1"/>
    </x:xf>
    <x:xf numFmtId="0" fontId="6" fillId="14" borderId="1" xfId="0" applyNumberFormat="1" applyFont="1" applyFill="1" applyBorder="1" applyAlignment="1">
      <x:alignment horizontal="center" wrapText="1"/>
    </x:xf>
    <x:xf numFmtId="0" fontId="0" fillId="1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horizontal="center"/>
    </x:xf>
    <x:xf numFmtId="0" fontId="0" fillId="15" borderId="1" xfId="0" applyNumberFormat="1" applyFont="1" applyFill="1" applyBorder="1"/>
    <x:xf numFmtId="0" fontId="3" fillId="15" borderId="1" xfId="0" applyNumberFormat="1" applyFont="1" applyFill="1" applyBorder="1"/>
    <x:xf numFmtId="0" fontId="3" fillId="15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7E22CE"/>
      </x:font>
      <x:fill>
        <x:patternFill patternType="solid">
          <x:bgColor rgb="FFF3E8FF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5e3fd424dd48ec" /><Relationship Type="http://schemas.openxmlformats.org/officeDocument/2006/relationships/theme" Target="/xl/theme/theme1.xml" Id="R5018cc22325349fb" /><Relationship Type="http://schemas.openxmlformats.org/officeDocument/2006/relationships/sharedStrings" Target="/xl/sharedStrings.xml" Id="R33908dad4bab4b4e" /><Relationship Type="http://schemas.openxmlformats.org/officeDocument/2006/relationships/worksheet" Target="/xl/worksheets/sheet1.xml" Id="R5abb853e62584765" /><Relationship Type="http://schemas.openxmlformats.org/officeDocument/2006/relationships/worksheet" Target="/xl/worksheets/sheet2.xml" Id="R6c26998a927146aa" /><Relationship Type="http://schemas.openxmlformats.org/officeDocument/2006/relationships/worksheet" Target="/xl/worksheets/sheet3.xml" Id="Rb8a48f1c90814699" /><Relationship Type="http://schemas.openxmlformats.org/officeDocument/2006/relationships/worksheet" Target="/xl/worksheets/sheet4.xml" Id="Rf6caa25999e84912" /><Relationship Type="http://schemas.openxmlformats.org/officeDocument/2006/relationships/worksheet" Target="/xl/worksheets/sheet5.xml" Id="Rea52507bd9b94a5a" /></Relationships>
</file>

<file path=xl/tables/table1.xml><?xml version="1.0" encoding="utf-8"?>
<x:table xmlns:x="http://schemas.openxmlformats.org/spreadsheetml/2006/main" id="1" name="AuraBacklog" displayName="AuraBacklog" ref="A5:H44" headerRowCount="1" totalsRowCount="0" totalsRowShown="0">
  <x:tableColumns count="8">
    <x:tableColumn id="1" name="Tarefa / Issue"/>
    <x:tableColumn id="2" name="Responsável"/>
    <x:tableColumn id="3" name="Sprint"/>
    <x:tableColumn id="4" name="Prazo"/>
    <x:tableColumn id="5" name="Prioridade"/>
    <x:tableColumn id="6" name="Status"/>
    <x:tableColumn id="7" name="Critério de conclusão"/>
    <x:tableColumn id="8" name="Evidência / 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76342183420d4f0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32" hidden="0" customWidth="1"/>
    <x:col min="4" max="4" width="24" hidden="0" customWidth="1"/>
    <x:col min="5" max="5" width="48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2" customHeight="1">
      <x:c r="A1" s="5" t="str">
        <x:v>AURA SMART APARTMENT — PLANO DA EQUIPE</x:v>
      </x:c>
      <x:c r="B1" s="5"/>
      <x:c r="C1" s="5"/>
      <x:c r="D1" s="5"/>
      <x:c r="E1" s="5"/>
      <x:c r="F1" s="5"/>
      <x:c r="G1" s="5"/>
      <x:c r="H1" s="5"/>
    </x:row>
    <x:row r="2" ht="22" customHeight="1">
      <x:c r="A2" s="5"/>
      <x:c r="B2" s="5"/>
      <x:c r="C2" s="5"/>
      <x:c r="D2" s="5"/>
      <x:c r="E2" s="5"/>
      <x:c r="F2" s="5"/>
      <x:c r="G2" s="5"/>
      <x:c r="H2" s="5"/>
    </x:row>
    <x:row r="3" ht="22" customHeight="1">
      <x:c r="A3" s="65" t="str">
        <x:v>MVP acadêmico | Bubble + Make + Python + GitHub | Prazo interno final: 08/11/2026</x:v>
      </x:c>
      <x:c r="B3" s="65"/>
      <x:c r="C3" s="65"/>
      <x:c r="D3" s="65"/>
      <x:c r="E3" s="65"/>
      <x:c r="F3" s="65"/>
      <x:c r="G3" s="65"/>
      <x:c r="H3" s="65"/>
    </x:row>
    <x:row r="4" ht="22" customHeight="1">
      <x:c r="A4" s="66"/>
      <x:c r="B4" s="66"/>
      <x:c r="C4" s="66"/>
      <x:c r="D4" s="66"/>
      <x:c r="E4" s="66"/>
      <x:c r="F4" s="66"/>
      <x:c r="G4" s="66"/>
      <x:c r="H4" s="66"/>
    </x:row>
    <x:row r="5" ht="22" customHeight="1">
      <x:c r="A5" s="19" t="str">
        <x:v>Indicador</x:v>
      </x:c>
      <x:c r="B5" s="19" t="str">
        <x:v>Valor</x:v>
      </x:c>
      <x:c r="C5" s="66"/>
      <x:c r="D5" s="67" t="str">
        <x:v>ARQUITETURA DO PROJETO</x:v>
      </x:c>
      <x:c r="E5" s="67"/>
      <x:c r="F5" s="67"/>
      <x:c r="G5" s="67"/>
      <x:c r="H5" s="67"/>
    </x:row>
    <x:row r="6" ht="22" customHeight="1">
      <x:c r="A6" s="66" t="str">
        <x:v>Integrantes</x:v>
      </x:c>
      <x:c r="B6" s="66" t="n">
        <x:v>5</x:v>
      </x:c>
      <x:c r="C6" s="66"/>
      <x:c r="D6" s="68" t="str">
        <x:v>Bubble</x:v>
      </x:c>
      <x:c r="E6" s="69" t="str">
        <x:v>Aplicativo central e banco principal do Aura</x:v>
      </x:c>
      <x:c r="F6" s="66"/>
      <x:c r="G6" s="66"/>
      <x:c r="H6" s="66"/>
    </x:row>
    <x:row r="7" ht="22" customHeight="1">
      <x:c r="A7" s="66" t="str">
        <x:v>Perfis do sistema</x:v>
      </x:c>
      <x:c r="B7" s="66" t="n">
        <x:v>3</x:v>
      </x:c>
      <x:c r="C7" s="66"/>
      <x:c r="D7" s="68" t="str">
        <x:v>Make</x:v>
      </x:c>
      <x:c r="E7" s="69" t="str">
        <x:v>Automações, webhooks e comunicação entre serviços</x:v>
      </x:c>
      <x:c r="F7" s="66"/>
      <x:c r="G7" s="66"/>
      <x:c r="H7" s="66"/>
    </x:row>
    <x:row r="8" ht="22" customHeight="1">
      <x:c r="A8" s="66" t="str">
        <x:v>Fluxos principais</x:v>
      </x:c>
      <x:c r="B8" s="66" t="n">
        <x:v>3</x:v>
      </x:c>
      <x:c r="C8" s="66"/>
      <x:c r="D8" s="68" t="str">
        <x:v>Python</x:v>
      </x:c>
      <x:c r="E8" s="69" t="str">
        <x:v>Validações, regras de negócio e manutenção preventiva</x:v>
      </x:c>
      <x:c r="F8" s="66"/>
      <x:c r="G8" s="66"/>
      <x:c r="H8" s="66"/>
    </x:row>
    <x:row r="9" ht="22" customHeight="1">
      <x:c r="A9" s="66" t="str">
        <x:v>Tarefas iniciais</x:v>
      </x:c>
      <x:c r="B9" s="66" t="n">
        <x:f>COUNTA('Backlog Inicial'!A6:A44)</x:f>
        <x:v>39</x:v>
      </x:c>
      <x:c r="C9" s="66"/>
      <x:c r="D9" s="68" t="str">
        <x:v>GitHub</x:v>
      </x:c>
      <x:c r="E9" s="69" t="str">
        <x:v>Código, backlog, documentação, testes e histórico do projeto</x:v>
      </x:c>
      <x:c r="F9" s="66"/>
      <x:c r="G9" s="66"/>
      <x:c r="H9" s="66"/>
    </x:row>
    <x:row r="10" ht="22" customHeight="1">
      <x:c r="A10" s="66"/>
      <x:c r="B10" s="66"/>
      <x:c r="C10" s="66"/>
      <x:c r="D10" s="66"/>
      <x:c r="E10" s="66"/>
      <x:c r="F10" s="66"/>
      <x:c r="G10" s="66"/>
      <x:c r="H10" s="66"/>
    </x:row>
    <x:row r="11" ht="22" customHeight="1">
      <x:c r="A11" s="19" t="str">
        <x:v>3 PERFIS DO AURA</x:v>
      </x:c>
      <x:c r="B11" s="19"/>
      <x:c r="C11" s="19"/>
      <x:c r="D11" s="19"/>
      <x:c r="E11" s="19"/>
      <x:c r="F11" s="19"/>
      <x:c r="G11" s="19"/>
      <x:c r="H11" s="19"/>
    </x:row>
    <x:row r="12" ht="22" customHeight="1">
      <x:c r="A12" s="40" t="str">
        <x:v>Morador</x:v>
      </x:c>
      <x:c r="B12" s="40" t="str">
        <x:v>Portaria / Administração</x:v>
      </x:c>
      <x:c r="C12" s="40" t="str">
        <x:v>Prestador de serviço</x:v>
      </x:c>
      <x:c r="D12" s="66"/>
      <x:c r="E12" s="66"/>
      <x:c r="F12" s="66"/>
      <x:c r="G12" s="66"/>
      <x:c r="H12" s="66"/>
    </x:row>
    <x:row r="13" ht="22" customHeight="1">
      <x:c r="A13" s="69" t="str">
        <x:v>Autoriza visitantes</x:v>
      </x:c>
      <x:c r="B13" s="69" t="str">
        <x:v>Visualiza autorizações e registra entrada/saída</x:v>
      </x:c>
      <x:c r="C13" s="69" t="str">
        <x:v>Recebe chamados encaminhados</x:v>
      </x:c>
      <x:c r="D13" s="66"/>
      <x:c r="E13" s="66"/>
      <x:c r="F13" s="66"/>
      <x:c r="G13" s="66"/>
      <x:c r="H13" s="66"/>
    </x:row>
    <x:row r="14" ht="22" customHeight="1">
      <x:c r="A14" s="69" t="str">
        <x:v>Cria solicitações</x:v>
      </x:c>
      <x:c r="B14" s="69" t="str">
        <x:v>Analisa e encaminha solicitações</x:v>
      </x:c>
      <x:c r="C14" s="69" t="str">
        <x:v>Aceita e inicia serviços</x:v>
      </x:c>
      <x:c r="D14" s="66"/>
      <x:c r="E14" s="66"/>
      <x:c r="F14" s="66"/>
      <x:c r="G14" s="66"/>
      <x:c r="H14" s="66"/>
    </x:row>
    <x:row r="15" ht="22" customHeight="1">
      <x:c r="A15" s="69" t="str">
        <x:v>Acompanha status</x:v>
      </x:c>
      <x:c r="B15" s="69" t="str">
        <x:v>Cadastra equipamentos e insumos</x:v>
      </x:c>
      <x:c r="C15" s="69" t="str">
        <x:v>Conclui serviços</x:v>
      </x:c>
      <x:c r="D15" s="66"/>
      <x:c r="E15" s="66"/>
      <x:c r="F15" s="66"/>
      <x:c r="G15" s="66"/>
      <x:c r="H15" s="66"/>
    </x:row>
    <x:row r="16" ht="22" customHeight="1">
      <x:c r="A16" s="69" t="str">
        <x:v>Consulta histórico próprio</x:v>
      </x:c>
      <x:c r="B16" s="69" t="str">
        <x:v>Mantém histórico diário de acessos</x:v>
      </x:c>
      <x:c r="C16" s="69" t="str">
        <x:v>Atualiza status para o Aura</x:v>
      </x:c>
      <x:c r="D16" s="66"/>
      <x:c r="E16" s="66"/>
      <x:c r="F16" s="66"/>
      <x:c r="G16" s="66"/>
      <x:c r="H16" s="66"/>
    </x:row>
    <x:row r="17" ht="22" customHeight="1">
      <x:c r="A17" s="66"/>
      <x:c r="B17" s="66"/>
      <x:c r="C17" s="66"/>
      <x:c r="D17" s="66"/>
      <x:c r="E17" s="66"/>
      <x:c r="F17" s="66"/>
      <x:c r="G17" s="66"/>
      <x:c r="H17" s="66"/>
    </x:row>
    <x:row r="18" ht="22" customHeight="1">
      <x:c r="A18" s="70" t="str">
        <x:v>FLUXOS PRINCIPAIS DO MVP</x:v>
      </x:c>
      <x:c r="B18" s="70"/>
      <x:c r="C18" s="70"/>
      <x:c r="D18" s="70"/>
      <x:c r="E18" s="70"/>
      <x:c r="F18" s="70"/>
      <x:c r="G18" s="70"/>
      <x:c r="H18" s="70"/>
    </x:row>
    <x:row r="19" ht="22" customHeight="1">
      <x:c r="A19" s="71" t="str">
        <x:v>Acesso</x:v>
      </x:c>
      <x:c r="B19" s="69" t="str">
        <x:v>Morador → autorização → Portaria → entrada → saída → histórico</x:v>
      </x:c>
      <x:c r="C19" s="66"/>
      <x:c r="D19" s="72" t="str">
        <x:v>LIMITES DO MVP</x:v>
      </x:c>
      <x:c r="E19" s="72"/>
      <x:c r="F19" s="72"/>
      <x:c r="G19" s="72"/>
      <x:c r="H19" s="72"/>
    </x:row>
    <x:row r="20" ht="22" customHeight="1">
      <x:c r="A20" s="71" t="str">
        <x:v>Solicitação</x:v>
      </x:c>
      <x:c r="B20" s="69" t="str">
        <x:v>Morador/Admin → Administração → Prestador escolhido → execução → conclusão</x:v>
      </x:c>
      <x:c r="C20" s="66"/>
      <x:c r="D20" s="73" t="str">
        <x:v>Dentro do MVP</x:v>
      </x:c>
      <x:c r="E20" s="69" t="str">
        <x:v>Acessos, solicitações, equipamentos, insumos simples, automações, regras Python</x:v>
      </x:c>
      <x:c r="F20" s="66" t="str"/>
      <x:c r="G20" s="66" t="str"/>
      <x:c r="H20" s="66" t="str"/>
    </x:row>
    <x:row r="21" ht="22" customHeight="1">
      <x:c r="A21" s="71" t="str">
        <x:v>Gestão preventiva</x:v>
      </x:c>
      <x:c r="B21" s="69" t="str">
        <x:v>Equipamentos/Insumos → alerta → Administração → possível solicitação</x:v>
      </x:c>
      <x:c r="C21" s="66"/>
      <x:c r="D21" s="73" t="str">
        <x:v>Fora do MVP</x:v>
      </x:c>
      <x:c r="E21" s="69" t="str">
        <x:v>Marketplace de prestadores, pagamentos, chat, biometria/catraca física, ERP de estoque</x:v>
      </x:c>
      <x:c r="F21" s="66" t="str"/>
      <x:c r="G21" s="66" t="str"/>
      <x:c r="H21" s="66" t="str"/>
    </x:row>
    <x:row r="22" ht="22" customHeight="1">
      <x:c r="A22" s="66"/>
      <x:c r="B22" s="66"/>
      <x:c r="C22" s="66"/>
      <x:c r="D22" s="73" t="str">
        <x:v>Regra de escopo</x:v>
      </x:c>
      <x:c r="E22" s="69" t="str">
        <x:v>Se o núcleo não estiver integrado, não entram funcionalidades novas</x:v>
      </x:c>
      <x:c r="F22" s="66" t="str"/>
      <x:c r="G22" s="66" t="str"/>
      <x:c r="H22" s="66" t="str"/>
    </x:row>
    <x:row r="23" ht="22" customHeight="1">
      <x:c r="A23" s="66"/>
      <x:c r="B23" s="66"/>
      <x:c r="C23" s="66"/>
      <x:c r="D23" s="73" t="str">
        <x:v>Fonte principal de dados</x:v>
      </x:c>
      <x:c r="E23" s="69" t="str">
        <x:v>Bubble</x:v>
      </x:c>
      <x:c r="F23" s="66" t="str"/>
      <x:c r="G23" s="66" t="str"/>
      <x:c r="H23" s="66" t="str"/>
    </x:row>
    <x:row r="24" ht="22" customHeight="1">
      <x:c r="A24" s="66"/>
      <x:c r="B24" s="66"/>
      <x:c r="C24" s="66"/>
      <x:c r="D24" s="73" t="str">
        <x:v>Prazo de congelamento</x:v>
      </x:c>
      <x:c r="E24" s="69" t="str">
        <x:v>08/11/2026</x:v>
      </x:c>
      <x:c r="F24" s="66" t="str"/>
      <x:c r="G24" s="66" t="str"/>
      <x:c r="H24" s="66" t="str"/>
    </x:row>
    <x:row r="25" ht="22" customHeight="1"/>
    <x:row r="26" ht="22" customHeight="1">
      <x:c r="A26" s="137" t="str">
        <x:v>STATUS DO BACKLOG</x:v>
      </x:c>
      <x:c r="B26" s="137"/>
      <x:c r="C26" s="137"/>
      <x:c r="D26" s="137"/>
      <x:c r="E26" s="137"/>
      <x:c r="F26" s="137"/>
      <x:c r="G26" s="137"/>
      <x:c r="H26" s="137"/>
    </x:row>
    <x:row r="27" ht="22" customHeight="1">
      <x:c r="A27" s="40" t="str">
        <x:v>Total</x:v>
      </x:c>
      <x:c r="B27" s="40" t="str">
        <x:v>To Do</x:v>
      </x:c>
      <x:c r="C27" s="40" t="str">
        <x:v>Em andamento</x:v>
      </x:c>
      <x:c r="D27" s="40" t="str">
        <x:v>Concluídas</x:v>
      </x:c>
    </x:row>
    <x:row r="28" ht="22" customHeight="1">
      <x:c r="A28" s="142" t="n">
        <x:f>COUNTA('Backlog Inicial'!A6:A44)</x:f>
        <x:v>39</x:v>
      </x:c>
      <x:c r="B28" s="142" t="n">
        <x:f>COUNTIF('Backlog Inicial'!F6:F44,"To Do")</x:f>
        <x:v>39</x:v>
      </x:c>
      <x:c r="C28" s="142" t="n">
        <x:f>COUNTIF('Backlog Inicial'!F6:F44,"In Progress")</x:f>
        <x:v>0</x:v>
      </x:c>
      <x:c r="D28" s="142" t="n">
        <x:f>COUNTIF('Backlog Inicial'!F6:F44,"Done")</x:f>
        <x:v>0</x:v>
      </x:c>
    </x:row>
  </x:sheetData>
  <x:mergeCells>
    <x:mergeCell ref="A1:H2"/>
    <x:mergeCell ref="A3:H3"/>
    <x:mergeCell ref="D5:H5"/>
    <x:mergeCell ref="A11:H11"/>
    <x:mergeCell ref="A18:H18"/>
    <x:mergeCell ref="D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52" hidden="0" customWidth="1"/>
    <x:col min="4" max="4" width="42" hidden="0" customWidth="1"/>
    <x:col min="5" max="5" width="42" hidden="0" customWidth="1"/>
    <x:col min="6" max="6" width="30" hidden="0" customWidth="1"/>
    <x:col min="7" max="7" width="32" hidden="0" customWidth="1"/>
  </x:cols>
  <x:sheetData>
    <x:row r="1">
      <x:c r="A1" s="5" t="str">
        <x:v>RESPONSABILIDADES DA EQUIPE — AURA SMART APARTMENT</x:v>
      </x:c>
      <x:c r="B1" s="5"/>
      <x:c r="C1" s="5"/>
      <x:c r="D1" s="5"/>
      <x:c r="E1" s="5"/>
      <x:c r="F1" s="5"/>
      <x:c r="G1" s="5"/>
    </x:row>
    <x:row r="2">
      <x:c r="A2" s="5"/>
      <x:c r="B2" s="5"/>
      <x:c r="C2" s="5"/>
      <x:c r="D2" s="5"/>
      <x:c r="E2" s="5"/>
      <x:c r="F2" s="5"/>
      <x:c r="G2" s="5"/>
    </x:row>
    <x:row r="3">
      <x:c r="A3" s="84" t="str">
        <x:v>Cada pessoa tem um responsável principal, mas todos devem entender o fluxo completo do produto.</x:v>
      </x:c>
      <x:c r="B3" s="84"/>
      <x:c r="C3" s="84"/>
      <x:c r="D3" s="84"/>
      <x:c r="E3" s="84"/>
      <x:c r="F3" s="84"/>
      <x:c r="G3" s="84"/>
    </x:row>
    <x:row r="5" ht="28" customHeight="1">
      <x:c r="A5" s="19" t="str">
        <x:v>Integrante</x:v>
      </x:c>
      <x:c r="B5" s="19" t="str">
        <x:v>Papel principal</x:v>
      </x:c>
      <x:c r="C5" s="19" t="str">
        <x:v>Responsabilidades concretas</x:v>
      </x:c>
      <x:c r="D5" s="19" t="str">
        <x:v>Conhecimento mínimo necessário</x:v>
      </x:c>
      <x:c r="E5" s="19" t="str">
        <x:v>Entrega principal</x:v>
      </x:c>
      <x:c r="F5" s="19" t="str">
        <x:v>Depende de</x:v>
      </x:c>
      <x:c r="G5" s="19" t="str">
        <x:v>Apoia</x:v>
      </x:c>
    </x:row>
    <x:row r="6" ht="44" customHeight="1">
      <x:c r="A6" s="88" t="str">
        <x:v>Gustavo</x:v>
      </x:c>
      <x:c r="B6" s="91" t="str">
        <x:v>Product Owner + Python + Integração</x:v>
      </x:c>
      <x:c r="C6" s="35" t="str">
        <x:v>Definir problema, personas, MVP, backlog e prioridades; documentar fluxos; definir contratos de dados; desenvolver Python com Matheus; coordenar Bubble ↔ Make ↔ Python.</x:v>
      </x:c>
      <x:c r="D6" s="35" t="str">
        <x:v>Product Management; MoSCoW; histórias de usuário; Python; JSON; HTTP; APIs/webhooks básicos; noções de FastAPI.</x:v>
      </x:c>
      <x:c r="E6" s="35" t="str">
        <x:v>Produto definido + arquitetura documentada + integração técnica + parte do Python funcionando.</x:v>
      </x:c>
      <x:c r="F6" s="35" t="str">
        <x:v>Pedro, Matheus e Eduardo para integração.</x:v>
      </x:c>
      <x:c r="G6" s="35" t="str">
        <x:v>Marlon no backlog; Pedro no modelo de dados; Eduardo nos webhooks.</x:v>
      </x:c>
    </x:row>
    <x:row r="7" ht="44" customHeight="1">
      <x:c r="A7" s="88" t="str">
        <x:v>Pedro</x:v>
      </x:c>
      <x:c r="B7" s="91" t="str">
        <x:v>No-Code Developer — Bubble</x:v>
      </x:c>
      <x:c r="C7" s="35" t="str">
        <x:v>Construir aplicativo central; login; 3 perfis; banco; dashboards; acessos; solicitações; equipamentos; insumos; workflows; conexão com Make/API.</x:v>
      </x:c>
      <x:c r="D7" s="35" t="str">
        <x:v>Bubble Data Types; Fields; autenticação; Current User; roles; workflows; CRUD; responsive; API Connector/webhooks.</x:v>
      </x:c>
      <x:c r="E7" s="35" t="str">
        <x:v>Aura navegável e armazenando os dados no Bubble.</x:v>
      </x:c>
      <x:c r="F7" s="35" t="str">
        <x:v>Gustavo para regras/modelo de dados; Eduardo para integrações.</x:v>
      </x:c>
      <x:c r="G7" s="35" t="str">
        <x:v>Marlon nos testes; Gustavo na validação dos fluxos.</x:v>
      </x:c>
    </x:row>
    <x:row r="8" ht="44" customHeight="1">
      <x:c r="A8" s="88" t="str">
        <x:v>Matheus</x:v>
      </x:c>
      <x:c r="B8" s="91" t="str">
        <x:v>Python / Regras de Negócio</x:v>
      </x:c>
      <x:c r="C8" s="35" t="str">
        <x:v>Criar validate_access_request(); validar datas e horários; criar maintenance_status(); regras de equipamentos; testes unitários; apoiar API Python.</x:v>
      </x:c>
      <x:c r="D8" s="35" t="str">
        <x:v>Funções; dicionários; datetime; validações; exceptions; JSON; testes; noções de API.</x:v>
      </x:c>
      <x:c r="E8" s="35" t="str">
        <x:v>Módulos Python funcionando e testados.</x:v>
      </x:c>
      <x:c r="F8" s="35" t="str">
        <x:v>Gustavo para contrato dos dados; Eduardo para chamadas HTTP.</x:v>
      </x:c>
      <x:c r="G8" s="35" t="str">
        <x:v>Pedro definindo quais resultados o Bubble precisa exibir.</x:v>
      </x:c>
    </x:row>
    <x:row r="9" ht="44" customHeight="1">
      <x:c r="A9" s="88" t="str">
        <x:v>Eduardo</x:v>
      </x:c>
      <x:c r="B9" s="91" t="str">
        <x:v>Low-Code / Automação — Make</x:v>
      </x:c>
      <x:c r="C9" s="35" t="str">
        <x:v>Criar webhooks; receber dados do Bubble; enviar dados ao Python; tratar resposta; routers/filtros; notificações; automação de encaminhamento de solicitações.</x:v>
      </x:c>
      <x:c r="D9" s="35" t="str">
        <x:v>Make; webhook; JSON; HTTP Request; filtros; routers; variáveis; logs de execução; notificações.</x:v>
      </x:c>
      <x:c r="E9" s="35" t="str">
        <x:v>Fluxos automáticos conectando Bubble, Python e usuários.</x:v>
      </x:c>
      <x:c r="F9" s="35" t="str">
        <x:v>Pedro para envio/recebimento no Bubble; Gustavo/Matheus para endpoints Python.</x:v>
      </x:c>
      <x:c r="G9" s="35" t="str">
        <x:v>Marlon com evidências e testes de integração.</x:v>
      </x:c>
    </x:row>
    <x:row r="10" ht="44" customHeight="1">
      <x:c r="A10" s="88" t="str">
        <x:v>Marlon</x:v>
      </x:c>
      <x:c r="B10" s="91" t="str">
        <x:v>Git / Agile / QA</x:v>
      </x:c>
      <x:c r="C10" s="35" t="str">
        <x:v>Organizar GitHub Projects; criar Issues; acompanhar backlog; apoiar branches/commits/PRs; criar casos de teste; registrar bugs; organizar README, evidências e sprints.</x:v>
      </x:c>
      <x:c r="D10" s="35" t="str">
        <x:v>Git clone/add/commit/push/pull; branch/switch; Pull Request; Issues; GitHub Projects; Kanban; critérios de aceite; testes manuais.</x:v>
      </x:c>
      <x:c r="E10" s="35" t="str">
        <x:v>Projeto organizado, testado e documentado no GitHub.</x:v>
      </x:c>
      <x:c r="F10" s="35" t="str">
        <x:v>Todos os responsáveis para atualizar status e evidências.</x:v>
      </x:c>
      <x:c r="G10" s="35" t="str">
        <x:v>Gustavo no Product; Pedro/Matheus/Eduardo nos testes e documentação.</x:v>
      </x:c>
    </x:row>
    <x:row r="11" ht="44" customHeight="1"/>
    <x:row r="12" ht="44" customHeight="1">
      <x:c r="A12" s="47" t="str">
        <x:v>REGRAS DE TRABALHO DA EQUIPE</x:v>
      </x:c>
      <x:c r="B12" s="47"/>
      <x:c r="C12" s="47"/>
      <x:c r="D12" s="47"/>
      <x:c r="E12" s="47"/>
      <x:c r="F12" s="47"/>
      <x:c r="G12" s="47"/>
    </x:row>
    <x:row r="13" ht="44" customHeight="1">
      <x:c r="A13" s="94" t="str">
        <x:v>1</x:v>
      </x:c>
      <x:c r="B13" s="35" t="str">
        <x:v>Responsável principal ≠ único que precisa entender a área.</x:v>
      </x:c>
    </x:row>
    <x:row r="14" ht="44" customHeight="1">
      <x:c r="A14" s="94" t="str">
        <x:v>2</x:v>
      </x:c>
      <x:c r="B14" s="35" t="str">
        <x:v>Uma tarefa só vai para DONE quando existe evidência testável.</x:v>
      </x:c>
    </x:row>
    <x:row r="15" ht="44" customHeight="1">
      <x:c r="A15" s="94" t="str">
        <x:v>3</x:v>
      </x:c>
      <x:c r="B15" s="35" t="str">
        <x:v>Nenhuma integração deve ser deixada apenas para a última semana.</x:v>
      </x:c>
    </x:row>
    <x:row r="16" ht="44" customHeight="1">
      <x:c r="A16" s="94" t="str">
        <x:v>4</x:v>
      </x:c>
      <x:c r="B16" s="35" t="str">
        <x:v>Bubble é a fonte principal dos dados; Python calcula e devolve; Make automatiza.</x:v>
      </x:c>
    </x:row>
    <x:row r="17" ht="44" customHeight="1">
      <x:c r="A17" s="94" t="str">
        <x:v>5</x:v>
      </x:c>
      <x:c r="B17" s="35" t="str">
        <x:v>Após 02/11 entram somente correções, documentação e ensaio — sem funcionalidade grande nova.</x:v>
      </x:c>
    </x:row>
  </x:sheetData>
  <x:mergeCells>
    <x:mergeCell ref="A1:G2"/>
    <x:mergeCell ref="A3:G3"/>
    <x:mergeCell ref="A12:G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24" hidden="0" customWidth="1"/>
    <x:col min="4" max="4" width="39" hidden="0" customWidth="1"/>
    <x:col min="5" max="5" width="40" hidden="0" customWidth="1"/>
    <x:col min="6" max="6" width="38" hidden="0" customWidth="1"/>
    <x:col min="7" max="7" width="38" hidden="0" customWidth="1"/>
    <x:col min="8" max="8" width="38" hidden="0" customWidth="1"/>
    <x:col min="9" max="9" width="46" hidden="0" customWidth="1"/>
  </x:cols>
  <x:sheetData>
    <x:row r="1">
      <x:c r="A1" s="5" t="str">
        <x:v>CRONOGRAMA DO AURA — SETEMBRO A NOVEMBRO/2026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</x:row>
    <x:row r="3">
      <x:c r="A3" s="12" t="str">
        <x:v>Meta: núcleo integrado até 18/10 e projeto congelado até 08/11.</x:v>
      </x:c>
      <x:c r="B3" s="12"/>
      <x:c r="C3" s="12"/>
      <x:c r="D3" s="12"/>
      <x:c r="E3" s="12"/>
      <x:c r="F3" s="12"/>
      <x:c r="G3" s="12"/>
      <x:c r="H3" s="12"/>
      <x:c r="I3" s="12"/>
    </x:row>
    <x:row r="5" ht="30" customHeight="1">
      <x:c r="A5" s="19" t="str">
        <x:v>Sprint</x:v>
      </x:c>
      <x:c r="B5" s="19" t="str">
        <x:v>Período</x:v>
      </x:c>
      <x:c r="C5" s="19" t="str">
        <x:v>Objetivo</x:v>
      </x:c>
      <x:c r="D5" s="19" t="str">
        <x:v>Gustavo</x:v>
      </x:c>
      <x:c r="E5" s="19" t="str">
        <x:v>Pedro</x:v>
      </x:c>
      <x:c r="F5" s="19" t="str">
        <x:v>Matheus</x:v>
      </x:c>
      <x:c r="G5" s="19" t="str">
        <x:v>Eduardo</x:v>
      </x:c>
      <x:c r="H5" s="19" t="str">
        <x:v>Marlon</x:v>
      </x:c>
      <x:c r="I5" s="19" t="str">
        <x:v>Critério de conclusão</x:v>
      </x:c>
    </x:row>
    <x:row r="6" ht="88" customHeight="1">
      <x:c r="A6" s="101" t="str">
        <x:v>Sprint 1</x:v>
      </x:c>
      <x:c r="B6" s="102" t="str">
        <x:v>29/09–04/10</x:v>
      </x:c>
      <x:c r="C6" s="103" t="str">
        <x:v>Fundação do projeto</x:v>
      </x:c>
      <x:c r="D6" s="103" t="str">
        <x:v>Fechar problema, personas, MVP, fluxos, backlog e contrato inicial dos dados.</x:v>
      </x:c>
      <x:c r="E6" s="103" t="str">
        <x:v>Criar Bubble; autenticação; roles; banco inicial; dashboard básico.</x:v>
      </x:c>
      <x:c r="F6" s="103" t="str">
        <x:v>Implementar validate_access_request() e pelo menos 5 casos de teste.</x:v>
      </x:c>
      <x:c r="G6" s="103" t="str">
        <x:v>Criar cenário no Make e webhook capaz de receber JSON de teste.</x:v>
      </x:c>
      <x:c r="H6" s="103" t="str">
        <x:v>Criar GitHub Project, Issues, status e estrutura de documentação.</x:v>
      </x:c>
      <x:c r="I6" s="103" t="str">
        <x:v>Todos possuem uma entrega demonstrável; dados principais do Bubble estão definidos.</x:v>
      </x:c>
    </x:row>
    <x:row r="7" ht="88" customHeight="1">
      <x:c r="A7" s="88" t="str">
        <x:v>Sprint 2</x:v>
      </x:c>
      <x:c r="B7" s="107" t="str">
        <x:v>05/10–11/10</x:v>
      </x:c>
      <x:c r="C7" s="87" t="str">
        <x:v>Partes funcionando</x:v>
      </x:c>
      <x:c r="D7" s="87" t="str">
        <x:v>Estruturar API/endpoint Python; validar formato JSON; apoiar integração.</x:v>
      </x:c>
      <x:c r="E7" s="87" t="str">
        <x:v>Morador cadastra visitante e solicitação; Admin consegue visualizar registros.</x:v>
      </x:c>
      <x:c r="F7" s="87" t="str">
        <x:v>Python recebe dados estruturados e devolve status/motivo; iniciar maintenance_status().</x:v>
      </x:c>
      <x:c r="G7" s="87" t="str">
        <x:v>Make recebe JSON, trata campos e consegue fazer HTTP Request.</x:v>
      </x:c>
      <x:c r="H7" s="87" t="str">
        <x:v>Criar casos de teste dos fluxos e registrar bugs/issues.</x:v>
      </x:c>
      <x:c r="I7" s="87" t="str">
        <x:v>Bubble, Python e Make funcionam isoladamente com contratos de dados compatíveis.</x:v>
      </x:c>
    </x:row>
    <x:row r="8" ht="88" customHeight="1">
      <x:c r="A8" s="109" t="str">
        <x:v>Sprint 3</x:v>
      </x:c>
      <x:c r="B8" s="110" t="str">
        <x:v>12/10–18/10</x:v>
      </x:c>
      <x:c r="C8" s="111" t="str">
        <x:v>Primeira integração completa</x:v>
      </x:c>
      <x:c r="D8" s="111" t="str">
        <x:v>Conectar API e corrigir contrato Bubble/Make/Python; bloquear expansão de escopo.</x:v>
      </x:c>
      <x:c r="E8" s="111" t="str">
        <x:v>Enviar solicitação do Bubble e exibir status retornado; Portaria registra entrada/saída.</x:v>
      </x:c>
      <x:c r="F8" s="111" t="str">
        <x:v>Ajustar validação para dados reais; tratamento de erros.</x:v>
      </x:c>
      <x:c r="G8" s="111" t="str">
        <x:v>Bubble → Make → Python → Make → retorno/notificação.</x:v>
      </x:c>
      <x:c r="H8" s="111" t="str">
        <x:v>Executar teste ponta a ponta e documentar evidências.</x:v>
      </x:c>
      <x:c r="I8" s="111" t="str">
        <x:v>Morador cadastra João → validação acontece → Portaria visualiza → entrada/saída ficam registradas.</x:v>
      </x:c>
    </x:row>
    <x:row r="9" ht="88" customHeight="1">
      <x:c r="A9" s="115" t="str">
        <x:v>Sprint 4</x:v>
      </x:c>
      <x:c r="B9" s="116" t="str">
        <x:v>19/10–25/10</x:v>
      </x:c>
      <x:c r="C9" s="117" t="str">
        <x:v>Fluxo de solicitações</x:v>
      </x:c>
      <x:c r="D9" s="117" t="str">
        <x:v>Revisar regras do fluxo e acompanhar integração.</x:v>
      </x:c>
      <x:c r="E9" s="117" t="str">
        <x:v>Morador/Admin criam solicitações; Admin analisa e escolhe prestador; telas de status.</x:v>
      </x:c>
      <x:c r="F9" s="117" t="str">
        <x:v>Concluir maintenance_status() e regras de equipamento se necessário.</x:v>
      </x:c>
      <x:c r="G9" s="117" t="str">
        <x:v>Automatizar encaminhamento/notificação para prestador e atualizações de status.</x:v>
      </x:c>
      <x:c r="H9" s="117" t="str">
        <x:v>Testar ciclo completo da solicitação e registrar inconsistências.</x:v>
      </x:c>
      <x:c r="I9" s="117" t="str">
        <x:v>Morador/Admin → Administração → Prestador → conclusão → status visível ao Morador.</x:v>
      </x:c>
    </x:row>
    <x:row r="10" ht="88" customHeight="1">
      <x:c r="A10" s="121" t="str">
        <x:v>Sprint 5</x:v>
      </x:c>
      <x:c r="B10" s="122" t="str">
        <x:v>26/10–01/11</x:v>
      </x:c>
      <x:c r="C10" s="123" t="str">
        <x:v>Gestão + documentação</x:v>
      </x:c>
      <x:c r="D10" s="123" t="str">
        <x:v>Revisar Product Management, arquitetura e integração; apoiar documentação.</x:v>
      </x:c>
      <x:c r="E10" s="123" t="str">
        <x:v>Equipamentos e insumos simples funcionando; refinamento de interface.</x:v>
      </x:c>
      <x:c r="F10" s="123" t="str">
        <x:v>Manutenção preventiva estável e testada.</x:v>
      </x:c>
      <x:c r="G10" s="123" t="str">
        <x:v>Alertas/automação de manutenção e evidências de ganho de eficiência.</x:v>
      </x:c>
      <x:c r="H10" s="123" t="str">
        <x:v>README, prints, evidências das sprints, QA e fechamento de bugs prioritários.</x:v>
      </x:c>
      <x:c r="I10" s="123" t="str">
        <x:v>Equipamentos/insumos funcionam sem virar ERP; documentação acadêmica está completa.</x:v>
      </x:c>
    </x:row>
    <x:row r="11" ht="88" customHeight="1">
      <x:c r="A11" s="127" t="str">
        <x:v>Sprint final</x:v>
      </x:c>
      <x:c r="B11" s="128" t="str">
        <x:v>02/11–08/11</x:v>
      </x:c>
      <x:c r="C11" s="129" t="str">
        <x:v>Congelamento e preparação</x:v>
      </x:c>
      <x:c r="D11" s="129" t="str">
        <x:v>Revisar tudo; treinar apresentação e perguntas cruzadas.</x:v>
      </x:c>
      <x:c r="E11" s="129" t="str">
        <x:v>Corrigir apenas bugs e responsividade.</x:v>
      </x:c>
      <x:c r="F11" s="129" t="str">
        <x:v>Corrigir apenas bugs e testes.</x:v>
      </x:c>
      <x:c r="G11" s="129" t="str">
        <x:v>Estabilizar automações e logs.</x:v>
      </x:c>
      <x:c r="H11" s="129" t="str">
        <x:v>Teste final, checklist, documentação e ensaio de banca.</x:v>
      </x:c>
      <x:c r="I11" s="129" t="str">
        <x:v>Sem feature grande nova; sistema demonstrável e todos conseguem explicar o fluxo completo.</x:v>
      </x:c>
    </x:row>
  </x:sheetData>
  <x:mergeCells>
    <x:mergeCell ref="A1:I2"/>
    <x:mergeCell ref="A3:I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3" hidden="0" customWidth="1"/>
    <x:col min="3" max="3" width="16" hidden="0" customWidth="1"/>
    <x:col min="4" max="4" width="14" hidden="0" customWidth="1"/>
    <x:col min="5" max="5" width="13" hidden="0" customWidth="1"/>
    <x:col min="6" max="6" width="16" hidden="0" customWidth="1"/>
    <x:col min="7" max="7" width="54" hidden="0" customWidth="1"/>
    <x:col min="8" max="8" width="34" hidden="0" customWidth="1"/>
  </x:cols>
  <x:sheetData>
    <x:row r="1">
      <x:c r="A1" s="5" t="str">
        <x:v>BACKLOG INICIAL — AURA SMART APARTMENT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Atualizar Status e Evidência durante as sprints. Uma tarefa só é DONE quando o critério de conclusão foi comprovado.</x:v>
      </x:c>
      <x:c r="B3" s="12"/>
      <x:c r="C3" s="12"/>
      <x:c r="D3" s="12"/>
      <x:c r="E3" s="12"/>
      <x:c r="F3" s="12"/>
      <x:c r="G3" s="12"/>
      <x:c r="H3" s="12"/>
    </x:row>
    <x:row r="5" ht="30" customHeight="1">
      <x:c r="A5" s="19" t="str">
        <x:v>Tarefa / Issue</x:v>
      </x:c>
      <x:c r="B5" s="19" t="str">
        <x:v>Responsável</x:v>
      </x:c>
      <x:c r="C5" s="19" t="str">
        <x:v>Sprint</x:v>
      </x:c>
      <x:c r="D5" s="19" t="str">
        <x:v>Prazo</x:v>
      </x:c>
      <x:c r="E5" s="19" t="str">
        <x:v>Prioridade</x:v>
      </x:c>
      <x:c r="F5" s="19" t="str">
        <x:v>Status</x:v>
      </x:c>
      <x:c r="G5" s="19" t="str">
        <x:v>Critério de conclusão</x:v>
      </x:c>
      <x:c r="H5" s="19" t="str">
        <x:v>Evidência / link</x:v>
      </x:c>
    </x:row>
    <x:row r="6" ht="44" customHeight="1">
      <x:c r="A6" s="35" t="str">
        <x:v>Definir problema, personas e proposta do MVP</x:v>
      </x:c>
      <x:c r="B6" s="35" t="str">
        <x:v>Gustavo</x:v>
      </x:c>
      <x:c r="C6" s="35" t="str">
        <x:v>Sprint 1</x:v>
      </x:c>
      <x:c r="D6" s="133" t="n">
        <x:v>46297</x:v>
      </x:c>
      <x:c r="E6" s="35" t="str">
        <x:v>Alta</x:v>
      </x:c>
      <x:c r="F6" s="35" t="str">
        <x:v>To Do</x:v>
      </x:c>
      <x:c r="G6" s="35" t="str">
        <x:v>Documento define problema, 3 perfis, necessidades e escopo mínimo.</x:v>
      </x:c>
      <x:c r="H6" s="35" t="str"/>
    </x:row>
    <x:row r="7" ht="44" customHeight="1">
      <x:c r="A7" s="35" t="str">
        <x:v>Definir fluxos Acesso, Solicitações e Gestão Preventiva</x:v>
      </x:c>
      <x:c r="B7" s="35" t="str">
        <x:v>Gustavo</x:v>
      </x:c>
      <x:c r="C7" s="35" t="str">
        <x:v>Sprint 1</x:v>
      </x:c>
      <x:c r="D7" s="133" t="n">
        <x:v>46297</x:v>
      </x:c>
      <x:c r="E7" s="35" t="str">
        <x:v>Alta</x:v>
      </x:c>
      <x:c r="F7" s="35" t="str">
        <x:v>To Do</x:v>
      </x:c>
      <x:c r="G7" s="35" t="str">
        <x:v>Os 3 fluxos estão documentados e compreendidos pelo grupo.</x:v>
      </x:c>
      <x:c r="H7" s="35" t="str"/>
    </x:row>
    <x:row r="8" ht="44" customHeight="1">
      <x:c r="A8" s="35" t="str">
        <x:v>Definir modelo inicial de dados do Bubble</x:v>
      </x:c>
      <x:c r="B8" s="35" t="str">
        <x:v>Gustavo + Pedro</x:v>
      </x:c>
      <x:c r="C8" s="35" t="str">
        <x:v>Sprint 1</x:v>
      </x:c>
      <x:c r="D8" s="133" t="n">
        <x:v>46297</x:v>
      </x:c>
      <x:c r="E8" s="35" t="str">
        <x:v>Alta</x:v>
      </x:c>
      <x:c r="F8" s="35" t="str">
        <x:v>To Do</x:v>
      </x:c>
      <x:c r="G8" s="35" t="str">
        <x:v>Campos de User, AccessRequest e ServiceRequest definidos.</x:v>
      </x:c>
      <x:c r="H8" s="35" t="str"/>
    </x:row>
    <x:row r="9" ht="44" customHeight="1">
      <x:c r="A9" s="35" t="str">
        <x:v>Criar projeto no Bubble</x:v>
      </x:c>
      <x:c r="B9" s="35" t="str">
        <x:v>Pedro</x:v>
      </x:c>
      <x:c r="C9" s="35" t="str">
        <x:v>Sprint 1</x:v>
      </x:c>
      <x:c r="D9" s="133" t="n">
        <x:v>46297</x:v>
      </x:c>
      <x:c r="E9" s="35" t="str">
        <x:v>Alta</x:v>
      </x:c>
      <x:c r="F9" s="35" t="str">
        <x:v>To Do</x:v>
      </x:c>
      <x:c r="G9" s="35" t="str">
        <x:v>Projeto criado e acessível ao responsável.</x:v>
      </x:c>
      <x:c r="H9" s="35" t="str"/>
    </x:row>
    <x:row r="10" ht="44" customHeight="1">
      <x:c r="A10" s="35" t="str">
        <x:v>Criar autenticação e login</x:v>
      </x:c>
      <x:c r="B10" s="35" t="str">
        <x:v>Pedro</x:v>
      </x:c>
      <x:c r="C10" s="35" t="str">
        <x:v>Sprint 1</x:v>
      </x:c>
      <x:c r="D10" s="133" t="n">
        <x:v>46299</x:v>
      </x:c>
      <x:c r="E10" s="35" t="str">
        <x:v>Alta</x:v>
      </x:c>
      <x:c r="F10" s="35" t="str">
        <x:v>To Do</x:v>
      </x:c>
      <x:c r="G10" s="35" t="str">
        <x:v>Usuário consegue entrar no aplicativo.</x:v>
      </x:c>
      <x:c r="H10" s="35" t="str"/>
    </x:row>
    <x:row r="11" ht="44" customHeight="1">
      <x:c r="A11" s="35" t="str">
        <x:v>Criar roles RESIDENT, ADMIN e PROVIDER</x:v>
      </x:c>
      <x:c r="B11" s="35" t="str">
        <x:v>Pedro</x:v>
      </x:c>
      <x:c r="C11" s="35" t="str">
        <x:v>Sprint 1</x:v>
      </x:c>
      <x:c r="D11" s="133" t="n">
        <x:v>46299</x:v>
      </x:c>
      <x:c r="E11" s="35" t="str">
        <x:v>Alta</x:v>
      </x:c>
      <x:c r="F11" s="35" t="str">
        <x:v>To Do</x:v>
      </x:c>
      <x:c r="G11" s="35" t="str">
        <x:v>O sistema diferencia os 3 perfis após login.</x:v>
      </x:c>
      <x:c r="H11" s="35" t="str"/>
    </x:row>
    <x:row r="12" ht="44" customHeight="1">
      <x:c r="A12" s="35" t="str">
        <x:v>Criar Data Type AccessRequest</x:v>
      </x:c>
      <x:c r="B12" s="35" t="str">
        <x:v>Pedro</x:v>
      </x:c>
      <x:c r="C12" s="35" t="str">
        <x:v>Sprint 1</x:v>
      </x:c>
      <x:c r="D12" s="133" t="n">
        <x:v>46299</x:v>
      </x:c>
      <x:c r="E12" s="35" t="str">
        <x:v>Alta</x:v>
      </x:c>
      <x:c r="F12" s="35" t="str">
        <x:v>To Do</x:v>
      </x:c>
      <x:c r="G12" s="35" t="str">
        <x:v>Autorização de visitante pode ser salva no Bubble.</x:v>
      </x:c>
      <x:c r="H12" s="35" t="str"/>
    </x:row>
    <x:row r="13" ht="44" customHeight="1">
      <x:c r="A13" s="35" t="str">
        <x:v>Implementar validate_access_request()</x:v>
      </x:c>
      <x:c r="B13" s="35" t="str">
        <x:v>Matheus</x:v>
      </x:c>
      <x:c r="C13" s="35" t="str">
        <x:v>Sprint 1</x:v>
      </x:c>
      <x:c r="D13" s="133" t="n">
        <x:v>46299</x:v>
      </x:c>
      <x:c r="E13" s="35" t="str">
        <x:v>Alta</x:v>
      </x:c>
      <x:c r="F13" s="35" t="str">
        <x:v>To Do</x:v>
      </x:c>
      <x:c r="G13" s="35" t="str">
        <x:v>Função valida nome, documento, data e horários e retorna status/motivo.</x:v>
      </x:c>
      <x:c r="H13" s="35" t="str"/>
    </x:row>
    <x:row r="14" ht="44" customHeight="1">
      <x:c r="A14" s="35" t="str">
        <x:v>Criar 5 testes para validação de acesso</x:v>
      </x:c>
      <x:c r="B14" s="35" t="str">
        <x:v>Matheus</x:v>
      </x:c>
      <x:c r="C14" s="35" t="str">
        <x:v>Sprint 1</x:v>
      </x:c>
      <x:c r="D14" s="133" t="n">
        <x:v>46299</x:v>
      </x:c>
      <x:c r="E14" s="35" t="str">
        <x:v>Alta</x:v>
      </x:c>
      <x:c r="F14" s="35" t="str">
        <x:v>To Do</x:v>
      </x:c>
      <x:c r="G14" s="35" t="str">
        <x:v>Casos válidos e inválidos são executados com resultados esperados.</x:v>
      </x:c>
      <x:c r="H14" s="35" t="str"/>
    </x:row>
    <x:row r="15" ht="44" customHeight="1">
      <x:c r="A15" s="35" t="str">
        <x:v>Criar webhook no Make</x:v>
      </x:c>
      <x:c r="B15" s="35" t="str">
        <x:v>Eduardo</x:v>
      </x:c>
      <x:c r="C15" s="35" t="str">
        <x:v>Sprint 1</x:v>
      </x:c>
      <x:c r="D15" s="133" t="n">
        <x:v>46299</x:v>
      </x:c>
      <x:c r="E15" s="35" t="str">
        <x:v>Alta</x:v>
      </x:c>
      <x:c r="F15" s="35" t="str">
        <x:v>To Do</x:v>
      </x:c>
      <x:c r="G15" s="35" t="str">
        <x:v>Webhook recebe JSON com visitante, documento, data, entrada e saída.</x:v>
      </x:c>
      <x:c r="H15" s="35" t="str"/>
    </x:row>
    <x:row r="16" ht="44" customHeight="1">
      <x:c r="A16" s="35" t="str">
        <x:v>Criar GitHub Project e colunas de status</x:v>
      </x:c>
      <x:c r="B16" s="35" t="str">
        <x:v>Marlon</x:v>
      </x:c>
      <x:c r="C16" s="35" t="str">
        <x:v>Sprint 1</x:v>
      </x:c>
      <x:c r="D16" s="133" t="n">
        <x:v>46297</x:v>
      </x:c>
      <x:c r="E16" s="35" t="str">
        <x:v>Alta</x:v>
      </x:c>
      <x:c r="F16" s="35" t="str">
        <x:v>To Do</x:v>
      </x:c>
      <x:c r="G16" s="35" t="str">
        <x:v>Board contém Backlog, To Do, In Progress, Review e Done.</x:v>
      </x:c>
      <x:c r="H16" s="35" t="str"/>
    </x:row>
    <x:row r="17" ht="44" customHeight="1">
      <x:c r="A17" s="35" t="str">
        <x:v>Criar Issues iniciais e atribuir responsáveis</x:v>
      </x:c>
      <x:c r="B17" s="35" t="str">
        <x:v>Marlon</x:v>
      </x:c>
      <x:c r="C17" s="35" t="str">
        <x:v>Sprint 1</x:v>
      </x:c>
      <x:c r="D17" s="133" t="n">
        <x:v>46299</x:v>
      </x:c>
      <x:c r="E17" s="35" t="str">
        <x:v>Alta</x:v>
      </x:c>
      <x:c r="F17" s="35" t="str">
        <x:v>To Do</x:v>
      </x:c>
      <x:c r="G17" s="35" t="str">
        <x:v>Tarefas do projeto estão registradas no GitHub com responsáveis.</x:v>
      </x:c>
      <x:c r="H17" s="35" t="str"/>
    </x:row>
    <x:row r="18" ht="44" customHeight="1">
      <x:c r="A18" s="35" t="str">
        <x:v>Criar formulário de autorização do Morador</x:v>
      </x:c>
      <x:c r="B18" s="35" t="str">
        <x:v>Pedro</x:v>
      </x:c>
      <x:c r="C18" s="35" t="str">
        <x:v>Sprint 2</x:v>
      </x:c>
      <x:c r="D18" s="133" t="n">
        <x:v>46303</x:v>
      </x:c>
      <x:c r="E18" s="35" t="str">
        <x:v>Alta</x:v>
      </x:c>
      <x:c r="F18" s="35" t="str">
        <x:v>To Do</x:v>
      </x:c>
      <x:c r="G18" s="35" t="str">
        <x:v>Morador consegue cadastrar João Silva e salvar a autorização.</x:v>
      </x:c>
      <x:c r="H18" s="35" t="str"/>
    </x:row>
    <x:row r="19" ht="44" customHeight="1">
      <x:c r="A19" s="35" t="str">
        <x:v>Criar painel de Acessos da Portaria</x:v>
      </x:c>
      <x:c r="B19" s="35" t="str">
        <x:v>Pedro</x:v>
      </x:c>
      <x:c r="C19" s="35" t="str">
        <x:v>Sprint 2</x:v>
      </x:c>
      <x:c r="D19" s="133" t="n">
        <x:v>46306</x:v>
      </x:c>
      <x:c r="E19" s="35" t="str">
        <x:v>Alta</x:v>
      </x:c>
      <x:c r="F19" s="35" t="str">
        <x:v>To Do</x:v>
      </x:c>
      <x:c r="G19" s="35" t="str">
        <x:v>Portaria visualiza autorizações cadastradas.</x:v>
      </x:c>
      <x:c r="H19" s="35" t="str"/>
    </x:row>
    <x:row r="20" ht="44" customHeight="1">
      <x:c r="A20" s="35" t="str">
        <x:v>Criar ServiceRequest e formulário de solicitação</x:v>
      </x:c>
      <x:c r="B20" s="35" t="str">
        <x:v>Pedro</x:v>
      </x:c>
      <x:c r="C20" s="35" t="str">
        <x:v>Sprint 2</x:v>
      </x:c>
      <x:c r="D20" s="133" t="n">
        <x:v>46306</x:v>
      </x:c>
      <x:c r="E20" s="35" t="str">
        <x:v>Alta</x:v>
      </x:c>
      <x:c r="F20" s="35" t="str">
        <x:v>To Do</x:v>
      </x:c>
      <x:c r="G20" s="35" t="str">
        <x:v>Morador consegue criar uma solicitação e Admin consegue visualizá-la.</x:v>
      </x:c>
      <x:c r="H20" s="35" t="str"/>
    </x:row>
    <x:row r="21" ht="44" customHeight="1">
      <x:c r="A21" s="35" t="str">
        <x:v>Estruturar endpoint Python para validação</x:v>
      </x:c>
      <x:c r="B21" s="35" t="str">
        <x:v>Gustavo + Matheus</x:v>
      </x:c>
      <x:c r="C21" s="35" t="str">
        <x:v>Sprint 2</x:v>
      </x:c>
      <x:c r="D21" s="133" t="n">
        <x:v>46306</x:v>
      </x:c>
      <x:c r="E21" s="35" t="str">
        <x:v>Alta</x:v>
      </x:c>
      <x:c r="F21" s="35" t="str">
        <x:v>To Do</x:v>
      </x:c>
      <x:c r="G21" s="35" t="str">
        <x:v>Endpoint recebe JSON e retorna JSON com status e reason.</x:v>
      </x:c>
      <x:c r="H21" s="35" t="str"/>
    </x:row>
    <x:row r="22" ht="44" customHeight="1">
      <x:c r="A22" s="35" t="str">
        <x:v>Configurar HTTP Request no Make</x:v>
      </x:c>
      <x:c r="B22" s="35" t="str">
        <x:v>Eduardo</x:v>
      </x:c>
      <x:c r="C22" s="35" t="str">
        <x:v>Sprint 2</x:v>
      </x:c>
      <x:c r="D22" s="133" t="n">
        <x:v>46306</x:v>
      </x:c>
      <x:c r="E22" s="35" t="str">
        <x:v>Alta</x:v>
      </x:c>
      <x:c r="F22" s="35" t="str">
        <x:v>To Do</x:v>
      </x:c>
      <x:c r="G22" s="35" t="str">
        <x:v>Make consegue chamar endpoint de teste e interpretar resposta.</x:v>
      </x:c>
      <x:c r="H22" s="35" t="str"/>
    </x:row>
    <x:row r="23" ht="44" customHeight="1">
      <x:c r="A23" s="35" t="str">
        <x:v>Criar roteiro de teste do fluxo de acesso</x:v>
      </x:c>
      <x:c r="B23" s="35" t="str">
        <x:v>Marlon</x:v>
      </x:c>
      <x:c r="C23" s="35" t="str">
        <x:v>Sprint 2</x:v>
      </x:c>
      <x:c r="D23" s="133" t="n">
        <x:v>46306</x:v>
      </x:c>
      <x:c r="E23" s="35" t="str">
        <x:v>Média</x:v>
      </x:c>
      <x:c r="F23" s="35" t="str">
        <x:v>To Do</x:v>
      </x:c>
      <x:c r="G23" s="35" t="str">
        <x:v>Roteiro cobre login, autorização, visualização, entrada, saída e histórico.</x:v>
      </x:c>
      <x:c r="H23" s="35" t="str"/>
    </x:row>
    <x:row r="24" ht="44" customHeight="1">
      <x:c r="A24" s="35" t="str">
        <x:v>Integrar Bubble → Make</x:v>
      </x:c>
      <x:c r="B24" s="35" t="str">
        <x:v>Pedro + Eduardo</x:v>
      </x:c>
      <x:c r="C24" s="35" t="str">
        <x:v>Sprint 3</x:v>
      </x:c>
      <x:c r="D24" s="133" t="n">
        <x:v>46310</x:v>
      </x:c>
      <x:c r="E24" s="35" t="str">
        <x:v>Alta</x:v>
      </x:c>
      <x:c r="F24" s="35" t="str">
        <x:v>To Do</x:v>
      </x:c>
      <x:c r="G24" s="35" t="str">
        <x:v>Dados do formulário chegam automaticamente ao Make.</x:v>
      </x:c>
      <x:c r="H24" s="35" t="str"/>
    </x:row>
    <x:row r="25" ht="44" customHeight="1">
      <x:c r="A25" s="35" t="str">
        <x:v>Integrar Make → Python → Make</x:v>
      </x:c>
      <x:c r="B25" s="35" t="str">
        <x:v>Eduardo + Gustavo</x:v>
      </x:c>
      <x:c r="C25" s="35" t="str">
        <x:v>Sprint 3</x:v>
      </x:c>
      <x:c r="D25" s="133" t="n">
        <x:v>46311</x:v>
      </x:c>
      <x:c r="E25" s="35" t="str">
        <x:v>Alta</x:v>
      </x:c>
      <x:c r="F25" s="35" t="str">
        <x:v>To Do</x:v>
      </x:c>
      <x:c r="G25" s="35" t="str">
        <x:v>Make envia dados ao Python e recebe o resultado.</x:v>
      </x:c>
      <x:c r="H25" s="35" t="str"/>
    </x:row>
    <x:row r="26" ht="44" customHeight="1">
      <x:c r="A26" s="35" t="str">
        <x:v>Exibir resultado da validação no Bubble</x:v>
      </x:c>
      <x:c r="B26" s="35" t="str">
        <x:v>Pedro</x:v>
      </x:c>
      <x:c r="C26" s="35" t="str">
        <x:v>Sprint 3</x:v>
      </x:c>
      <x:c r="D26" s="133" t="n">
        <x:v>46313</x:v>
      </x:c>
      <x:c r="E26" s="35" t="str">
        <x:v>Alta</x:v>
      </x:c>
      <x:c r="F26" s="35" t="str">
        <x:v>To Do</x:v>
      </x:c>
      <x:c r="G26" s="35" t="str">
        <x:v>Status retornado pelo fluxo aparece no AccessRequest.</x:v>
      </x:c>
      <x:c r="H26" s="35" t="str"/>
    </x:row>
    <x:row r="27" ht="44" customHeight="1">
      <x:c r="A27" s="35" t="str">
        <x:v>Registrar entrada e saída na Portaria</x:v>
      </x:c>
      <x:c r="B27" s="35" t="str">
        <x:v>Pedro</x:v>
      </x:c>
      <x:c r="C27" s="35" t="str">
        <x:v>Sprint 3</x:v>
      </x:c>
      <x:c r="D27" s="133" t="n">
        <x:v>46313</x:v>
      </x:c>
      <x:c r="E27" s="35" t="str">
        <x:v>Alta</x:v>
      </x:c>
      <x:c r="F27" s="35" t="str">
        <x:v>To Do</x:v>
      </x:c>
      <x:c r="G27" s="35" t="str">
        <x:v>Portaria altera status e horários de entrada/saída.</x:v>
      </x:c>
      <x:c r="H27" s="35" t="str"/>
    </x:row>
    <x:row r="28" ht="44" customHeight="1">
      <x:c r="A28" s="35" t="str">
        <x:v>Salvar histórico diário de acessos</x:v>
      </x:c>
      <x:c r="B28" s="35" t="str">
        <x:v>Pedro</x:v>
      </x:c>
      <x:c r="C28" s="35" t="str">
        <x:v>Sprint 3</x:v>
      </x:c>
      <x:c r="D28" s="133" t="n">
        <x:v>46313</x:v>
      </x:c>
      <x:c r="E28" s="35" t="str">
        <x:v>Alta</x:v>
      </x:c>
      <x:c r="F28" s="35" t="str">
        <x:v>To Do</x:v>
      </x:c>
      <x:c r="G28" s="35" t="str">
        <x:v>Acessos finalizados permanecem consultáveis com horários.</x:v>
      </x:c>
      <x:c r="H28" s="35" t="str"/>
    </x:row>
    <x:row r="29" ht="44" customHeight="1">
      <x:c r="A29" s="35" t="str">
        <x:v>Executar teste ponta a ponta do acesso</x:v>
      </x:c>
      <x:c r="B29" s="35" t="str">
        <x:v>Marlon</x:v>
      </x:c>
      <x:c r="C29" s="35" t="str">
        <x:v>Sprint 3</x:v>
      </x:c>
      <x:c r="D29" s="133" t="n">
        <x:v>46313</x:v>
      </x:c>
      <x:c r="E29" s="35" t="str">
        <x:v>Alta</x:v>
      </x:c>
      <x:c r="F29" s="35" t="str">
        <x:v>To Do</x:v>
      </x:c>
      <x:c r="G29" s="35" t="str">
        <x:v>Fluxo João Silva é demonstrado do Morador até o histórico da Portaria.</x:v>
      </x:c>
      <x:c r="H29" s="35" t="str"/>
    </x:row>
    <x:row r="30" ht="44" customHeight="1">
      <x:c r="A30" s="35" t="str">
        <x:v>Criar análise e encaminhamento de solicitações</x:v>
      </x:c>
      <x:c r="B30" s="35" t="str">
        <x:v>Pedro</x:v>
      </x:c>
      <x:c r="C30" s="35" t="str">
        <x:v>Sprint 4</x:v>
      </x:c>
      <x:c r="D30" s="133" t="n">
        <x:v>46317</x:v>
      </x:c>
      <x:c r="E30" s="35" t="str">
        <x:v>Alta</x:v>
      </x:c>
      <x:c r="F30" s="35" t="str">
        <x:v>To Do</x:v>
      </x:c>
      <x:c r="G30" s="35" t="str">
        <x:v>Admin consegue escolher prestador e mudar solicitação para encaminhada.</x:v>
      </x:c>
      <x:c r="H30" s="35" t="str"/>
    </x:row>
    <x:row r="31" ht="44" customHeight="1">
      <x:c r="A31" s="35" t="str">
        <x:v>Automatizar notificação ao prestador</x:v>
      </x:c>
      <x:c r="B31" s="35" t="str">
        <x:v>Eduardo</x:v>
      </x:c>
      <x:c r="C31" s="35" t="str">
        <x:v>Sprint 4</x:v>
      </x:c>
      <x:c r="D31" s="133" t="n">
        <x:v>46318</x:v>
      </x:c>
      <x:c r="E31" s="35" t="str">
        <x:v>Alta</x:v>
      </x:c>
      <x:c r="F31" s="35" t="str">
        <x:v>To Do</x:v>
      </x:c>
      <x:c r="G31" s="35" t="str">
        <x:v>Prestador recebe aviso quando uma solicitação é atribuída.</x:v>
      </x:c>
      <x:c r="H31" s="35" t="str"/>
    </x:row>
    <x:row r="32" ht="44" customHeight="1">
      <x:c r="A32" s="35" t="str">
        <x:v>Criar painel do Prestador</x:v>
      </x:c>
      <x:c r="B32" s="35" t="str">
        <x:v>Pedro</x:v>
      </x:c>
      <x:c r="C32" s="35" t="str">
        <x:v>Sprint 4</x:v>
      </x:c>
      <x:c r="D32" s="133" t="n">
        <x:v>46318</x:v>
      </x:c>
      <x:c r="E32" s="35" t="str">
        <x:v>Alta</x:v>
      </x:c>
      <x:c r="F32" s="35" t="str">
        <x:v>To Do</x:v>
      </x:c>
      <x:c r="G32" s="35" t="str">
        <x:v>Prestador vê apenas chamados atribuídos a ele.</x:v>
      </x:c>
      <x:c r="H32" s="35" t="str"/>
    </x:row>
    <x:row r="33" ht="44" customHeight="1">
      <x:c r="A33" s="35" t="str">
        <x:v>Criar estados Aceito / Em andamento / Concluído</x:v>
      </x:c>
      <x:c r="B33" s="35" t="str">
        <x:v>Pedro</x:v>
      </x:c>
      <x:c r="C33" s="35" t="str">
        <x:v>Sprint 4</x:v>
      </x:c>
      <x:c r="D33" s="133" t="n">
        <x:v>46320</x:v>
      </x:c>
      <x:c r="E33" s="35" t="str">
        <x:v>Alta</x:v>
      </x:c>
      <x:c r="F33" s="35" t="str">
        <x:v>To Do</x:v>
      </x:c>
      <x:c r="G33" s="35" t="str">
        <x:v>Prestador atualiza status e Morador/Admin conseguem acompanhar.</x:v>
      </x:c>
      <x:c r="H33" s="35" t="str"/>
    </x:row>
    <x:row r="34" ht="44" customHeight="1">
      <x:c r="A34" s="35" t="str">
        <x:v>Implementar maintenance_status()</x:v>
      </x:c>
      <x:c r="B34" s="35" t="str">
        <x:v>Matheus</x:v>
      </x:c>
      <x:c r="C34" s="35" t="str">
        <x:v>Sprint 4</x:v>
      </x:c>
      <x:c r="D34" s="133" t="n">
        <x:v>46320</x:v>
      </x:c>
      <x:c r="E34" s="35" t="str">
        <x:v>Média</x:v>
      </x:c>
      <x:c r="F34" s="35" t="str">
        <x:v>To Do</x:v>
      </x:c>
      <x:c r="G34" s="35" t="str">
        <x:v>Função calcula NORMAL, ATENÇÃO ou ATRASADA por data/periodicidade.</x:v>
      </x:c>
      <x:c r="H34" s="35" t="str"/>
    </x:row>
    <x:row r="35" ht="44" customHeight="1">
      <x:c r="A35" s="35" t="str">
        <x:v>Testar fluxo completo de solicitação</x:v>
      </x:c>
      <x:c r="B35" s="35" t="str">
        <x:v>Marlon</x:v>
      </x:c>
      <x:c r="C35" s="35" t="str">
        <x:v>Sprint 4</x:v>
      </x:c>
      <x:c r="D35" s="133" t="n">
        <x:v>46320</x:v>
      </x:c>
      <x:c r="E35" s="35" t="str">
        <x:v>Alta</x:v>
      </x:c>
      <x:c r="F35" s="35" t="str">
        <x:v>To Do</x:v>
      </x:c>
      <x:c r="G35" s="35" t="str">
        <x:v>Morador/Admin → Admin → Prestador → Concluído validado e documentado.</x:v>
      </x:c>
      <x:c r="H35" s="35" t="str"/>
    </x:row>
    <x:row r="36" ht="44" customHeight="1">
      <x:c r="A36" s="35" t="str">
        <x:v>Criar cadastro de equipamentos</x:v>
      </x:c>
      <x:c r="B36" s="35" t="str">
        <x:v>Pedro</x:v>
      </x:c>
      <x:c r="C36" s="35" t="str">
        <x:v>Sprint 5</x:v>
      </x:c>
      <x:c r="D36" s="133" t="n">
        <x:v>46324</x:v>
      </x:c>
      <x:c r="E36" s="35" t="str">
        <x:v>Média</x:v>
      </x:c>
      <x:c r="F36" s="35" t="str">
        <x:v>To Do</x:v>
      </x:c>
      <x:c r="G36" s="35" t="str">
        <x:v>Admin cadastra equipamento com local, última manutenção e periodicidade.</x:v>
      </x:c>
      <x:c r="H36" s="35" t="str"/>
    </x:row>
    <x:row r="37" ht="44" customHeight="1">
      <x:c r="A37" s="35" t="str">
        <x:v>Criar cadastro simples de insumos</x:v>
      </x:c>
      <x:c r="B37" s="35" t="str">
        <x:v>Pedro</x:v>
      </x:c>
      <x:c r="C37" s="35" t="str">
        <x:v>Sprint 5</x:v>
      </x:c>
      <x:c r="D37" s="133" t="n">
        <x:v>46325</x:v>
      </x:c>
      <x:c r="E37" s="35" t="str">
        <x:v>Média</x:v>
      </x:c>
      <x:c r="F37" s="35" t="str">
        <x:v>To Do</x:v>
      </x:c>
      <x:c r="G37" s="35" t="str">
        <x:v>Admin cadastra nome, categoria, quantidade, unidade e estoque mínimo.</x:v>
      </x:c>
      <x:c r="H37" s="35" t="str"/>
    </x:row>
    <x:row r="38" ht="44" customHeight="1">
      <x:c r="A38" s="35" t="str">
        <x:v>Criar alerta de manutenção preventiva</x:v>
      </x:c>
      <x:c r="B38" s="35" t="str">
        <x:v>Matheus + Eduardo</x:v>
      </x:c>
      <x:c r="C38" s="35" t="str">
        <x:v>Sprint 5</x:v>
      </x:c>
      <x:c r="D38" s="133" t="n">
        <x:v>46327</x:v>
      </x:c>
      <x:c r="E38" s="35" t="str">
        <x:v>Média</x:v>
      </x:c>
      <x:c r="F38" s="35" t="str">
        <x:v>To Do</x:v>
      </x:c>
      <x:c r="G38" s="35" t="str">
        <x:v>Equipamento em atenção/atraso gera estado e automação demonstrável.</x:v>
      </x:c>
      <x:c r="H38" s="35" t="str"/>
    </x:row>
    <x:row r="39" ht="44" customHeight="1">
      <x:c r="A39" s="35" t="str">
        <x:v>Criar alerta de estoque mínimo</x:v>
      </x:c>
      <x:c r="B39" s="35" t="str">
        <x:v>Pedro</x:v>
      </x:c>
      <x:c r="C39" s="35" t="str">
        <x:v>Sprint 5</x:v>
      </x:c>
      <x:c r="D39" s="133" t="n">
        <x:v>46327</x:v>
      </x:c>
      <x:c r="E39" s="35" t="str">
        <x:v>Baixa</x:v>
      </x:c>
      <x:c r="F39" s="35" t="str">
        <x:v>To Do</x:v>
      </x:c>
      <x:c r="G39" s="35" t="str">
        <x:v>Insumo abaixo do mínimo aparece visualmente em alerta.</x:v>
      </x:c>
      <x:c r="H39" s="35" t="str"/>
    </x:row>
    <x:row r="40" ht="44" customHeight="1">
      <x:c r="A40" s="35" t="str">
        <x:v>Finalizar README e documentação das sprints</x:v>
      </x:c>
      <x:c r="B40" s="35" t="str">
        <x:v>Marlon</x:v>
      </x:c>
      <x:c r="C40" s="35" t="str">
        <x:v>Sprint 5</x:v>
      </x:c>
      <x:c r="D40" s="133" t="n">
        <x:v>46327</x:v>
      </x:c>
      <x:c r="E40" s="35" t="str">
        <x:v>Alta</x:v>
      </x:c>
      <x:c r="F40" s="35" t="str">
        <x:v>To Do</x:v>
      </x:c>
      <x:c r="G40" s="35" t="str">
        <x:v>README explica produto, arquitetura, execução, responsáveis e evidências.</x:v>
      </x:c>
      <x:c r="H40" s="35" t="str"/>
    </x:row>
    <x:row r="41" ht="44" customHeight="1">
      <x:c r="A41" s="35" t="str">
        <x:v>Executar bateria final de testes</x:v>
      </x:c>
      <x:c r="B41" s="35" t="str">
        <x:v>Marlon + Todos</x:v>
      </x:c>
      <x:c r="C41" s="35" t="str">
        <x:v>Sprint final</x:v>
      </x:c>
      <x:c r="D41" s="133" t="n">
        <x:v>46331</x:v>
      </x:c>
      <x:c r="E41" s="35" t="str">
        <x:v>Alta</x:v>
      </x:c>
      <x:c r="F41" s="35" t="str">
        <x:v>To Do</x:v>
      </x:c>
      <x:c r="G41" s="35" t="str">
        <x:v>Fluxos principais passam sem erro crítico.</x:v>
      </x:c>
      <x:c r="H41" s="35" t="str"/>
    </x:row>
    <x:row r="42" ht="44" customHeight="1">
      <x:c r="A42" s="35" t="str">
        <x:v>Congelar funcionalidades</x:v>
      </x:c>
      <x:c r="B42" s="35" t="str">
        <x:v>Gustavo + Todos</x:v>
      </x:c>
      <x:c r="C42" s="35" t="str">
        <x:v>Sprint final</x:v>
      </x:c>
      <x:c r="D42" s="133" t="n">
        <x:v>46328</x:v>
      </x:c>
      <x:c r="E42" s="35" t="str">
        <x:v>Alta</x:v>
      </x:c>
      <x:c r="F42" s="35" t="str">
        <x:v>To Do</x:v>
      </x:c>
      <x:c r="G42" s="35" t="str">
        <x:v>Nenhuma feature grande nova é adicionada após esta data.</x:v>
      </x:c>
      <x:c r="H42" s="35" t="str"/>
    </x:row>
    <x:row r="43" ht="44" customHeight="1">
      <x:c r="A43" s="35" t="str">
        <x:v>Ensaiar apresentação e perguntas cruzadas</x:v>
      </x:c>
      <x:c r="B43" s="35" t="str">
        <x:v>Todos</x:v>
      </x:c>
      <x:c r="C43" s="35" t="str">
        <x:v>Sprint final</x:v>
      </x:c>
      <x:c r="D43" s="133" t="n">
        <x:v>46333</x:v>
      </x:c>
      <x:c r="E43" s="35" t="str">
        <x:v>Alta</x:v>
      </x:c>
      <x:c r="F43" s="35" t="str">
        <x:v>To Do</x:v>
      </x:c>
      <x:c r="G43" s="35" t="str">
        <x:v>Cada integrante consegue explicar Product, Bubble, Python, Make e Git/Agile.</x:v>
      </x:c>
      <x:c r="H43" s="35" t="str"/>
    </x:row>
    <x:row r="44" ht="44" customHeight="1">
      <x:c r="A44" s="35" t="str">
        <x:v>Projeto pronto para avaliação</x:v>
      </x:c>
      <x:c r="B44" s="35" t="str">
        <x:v>Todos</x:v>
      </x:c>
      <x:c r="C44" s="35" t="str">
        <x:v>Sprint final</x:v>
      </x:c>
      <x:c r="D44" s="133" t="n">
        <x:v>46334</x:v>
      </x:c>
      <x:c r="E44" s="35" t="str">
        <x:v>Alta</x:v>
      </x:c>
      <x:c r="F44" s="35" t="str">
        <x:v>To Do</x:v>
      </x:c>
      <x:c r="G44" s="35" t="str">
        <x:v>MVP demonstrável, integrado, documentado e estável.</x:v>
      </x:c>
      <x:c r="H44" s="35" t="str"/>
    </x:row>
  </x:sheetData>
  <x:mergeCells>
    <x:mergeCell ref="A1:H2"/>
    <x:mergeCell ref="A3:H3"/>
  </x:mergeCells>
  <x:conditionalFormatting sqref="F6:F44">
    <x:cfRule type="expression" dxfId="0" priority="1">
      <x:formula>F6="Done"</x:formula>
    </x:cfRule>
    <x:cfRule type="expression" dxfId="1" priority="2">
      <x:formula>F6="In Progress"</x:formula>
    </x:cfRule>
    <x:cfRule type="expression" dxfId="2" priority="3">
      <x:formula>F6="Review"</x:formula>
    </x:cfRule>
    <x:cfRule type="expression" dxfId="3" priority="4">
      <x:formula>F6="Blocked"</x:formula>
    </x:cfRule>
  </x:conditionalFormatting>
  <x:conditionalFormatting sqref="E6:E44">
    <x:cfRule type="expression" dxfId="4" priority="5">
      <x:formula>E6="Alta"</x:formula>
    </x:cfRule>
    <x:cfRule type="expression" dxfId="5" priority="6">
      <x:formula>E6="Média"</x:formula>
    </x:cfRule>
  </x:conditionalFormatting>
  <x:dataValidations count="2">
    <x:dataValidation type="list" sqref="E6:E44">
      <x:formula1>"Alta,Média,Baixa"</x:formula1>
    </x:dataValidation>
    <x:dataValidation type="list" sqref="F6:F44">
      <x:formula1>"To Do,In Progress,Review,Done,Blocked"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342183420d4f0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46" hidden="0" customWidth="1"/>
    <x:col min="4" max="4" width="42" hidden="0" customWidth="1"/>
    <x:col min="5" max="5" width="42" hidden="0" customWidth="1"/>
    <x:col min="6" max="6" width="43" hidden="0" customWidth="1"/>
  </x:cols>
  <x:sheetData>
    <x:row r="1">
      <x:c r="A1" s="5" t="str">
        <x:v>O QUE CADA INTEGRANTE PRECISA APRENDER PARA ENTREGAR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3">
      <x:c r="A3" s="12" t="str">
        <x:v>Regra: aprender apenas o necessário para desbloquear a próxima entrega; não esperar terminar cursos inteiros para começar.</x:v>
      </x:c>
      <x:c r="B3" s="12"/>
      <x:c r="C3" s="12"/>
      <x:c r="D3" s="12"/>
      <x:c r="E3" s="12"/>
      <x:c r="F3" s="12"/>
    </x:row>
    <x:row r="5">
      <x:c r="A5" s="19" t="str">
        <x:v>Integrante</x:v>
      </x:c>
      <x:c r="B5" s="19" t="str">
        <x:v>Área</x:v>
      </x:c>
      <x:c r="C5" s="19" t="str">
        <x:v>Aprender primeiro</x:v>
      </x:c>
      <x:c r="D5" s="19" t="str">
        <x:v>Aplicar imediatamente em</x:v>
      </x:c>
      <x:c r="E5" s="19" t="str">
        <x:v>Depois aprender</x:v>
      </x:c>
      <x:c r="F5" s="19" t="str">
        <x:v>Evitar agora</x:v>
      </x:c>
    </x:row>
    <x:row r="6" ht="72" customHeight="1">
      <x:c r="A6" s="88" t="str">
        <x:v>Gustavo</x:v>
      </x:c>
      <x:c r="B6" s="91" t="str">
        <x:v>Product + Python + Integração</x:v>
      </x:c>
      <x:c r="C6" s="35" t="str">
        <x:v>MVP, persona, MoSCoW, histórias de usuário, JSON, HTTP POST, API básica.</x:v>
      </x:c>
      <x:c r="D6" s="35" t="str">
        <x:v>Definição do produto e contrato Bubble/Make/Python.</x:v>
      </x:c>
      <x:c r="E6" s="35" t="str">
        <x:v>FastAPI básico, tratamento de erros de integração, documentação técnica.</x:v>
      </x:c>
      <x:c r="F6" s="35" t="str">
        <x:v>Arquitetura backend complexa, microsserviços, autenticação própria.</x:v>
      </x:c>
    </x:row>
    <x:row r="7" ht="72" customHeight="1">
      <x:c r="A7" s="88" t="str">
        <x:v>Pedro</x:v>
      </x:c>
      <x:c r="B7" s="91" t="str">
        <x:v>Bubble</x:v>
      </x:c>
      <x:c r="C7" s="35" t="str">
        <x:v>Data Types, Fields, autenticação, Current User, roles, workflows, CRUD.</x:v>
      </x:c>
      <x:c r="D7" s="35" t="str">
        <x:v>Login + 3 perfis + AccessRequest + ServiceRequest.</x:v>
      </x:c>
      <x:c r="E7" s="35" t="str">
        <x:v>API Connector, privacy rules, responsive e refinamento visual.</x:v>
      </x:c>
      <x:c r="F7" s="35" t="str">
        <x:v>Plugins aleatórios, animações complexas, features fora do MVP.</x:v>
      </x:c>
    </x:row>
    <x:row r="8" ht="72" customHeight="1">
      <x:c r="A8" s="88" t="str">
        <x:v>Matheus</x:v>
      </x:c>
      <x:c r="B8" s="91" t="str">
        <x:v>Python</x:v>
      </x:c>
      <x:c r="C8" s="35" t="str">
        <x:v>Funções, dicionários, datetime, validação, exceptions, testes.</x:v>
      </x:c>
      <x:c r="D8" s="35" t="str">
        <x:v>validate_access_request() + 5 testes.</x:v>
      </x:c>
      <x:c r="E8" s="35" t="str">
        <x:v>JSON, endpoint API, maintenance_status().</x:v>
      </x:c>
      <x:c r="F8" s="35" t="str">
        <x:v>Frameworks avançados, banco próprio, IA sem necessidade.</x:v>
      </x:c>
    </x:row>
    <x:row r="9" ht="72" customHeight="1">
      <x:c r="A9" s="88" t="str">
        <x:v>Eduardo</x:v>
      </x:c>
      <x:c r="B9" s="91" t="str">
        <x:v>Make / Low-Code</x:v>
      </x:c>
      <x:c r="C9" s="35" t="str">
        <x:v>Webhook, JSON, mapeamento de campos, filtros e logs.</x:v>
      </x:c>
      <x:c r="D9" s="35" t="str">
        <x:v>Receber payload de teste do Bubble.</x:v>
      </x:c>
      <x:c r="E9" s="35" t="str">
        <x:v>HTTP Request, router, notificações e tratamento de erro.</x:v>
      </x:c>
      <x:c r="F9" s="35" t="str">
        <x:v>Cenários gigantes antes de validar o primeiro fluxo.</x:v>
      </x:c>
    </x:row>
    <x:row r="10" ht="72" customHeight="1">
      <x:c r="A10" s="88" t="str">
        <x:v>Marlon</x:v>
      </x:c>
      <x:c r="B10" s="91" t="str">
        <x:v>Git / Agile / QA</x:v>
      </x:c>
      <x:c r="C10" s="35" t="str">
        <x:v>Issues, Projects, Kanban, critérios de aceite, clone/add/commit/push/pull.</x:v>
      </x:c>
      <x:c r="D10" s="35" t="str">
        <x:v>Criar board e backlog real do Aura.</x:v>
      </x:c>
      <x:c r="E10" s="35" t="str">
        <x:v>Branches, Pull Requests, testes de integração e documentação.</x:v>
      </x:c>
      <x:c r="F10" s="35" t="str">
        <x:v>Processo burocrático demais que atrase o desenvolvimento.</x:v>
      </x:c>
    </x:row>
  </x:sheetData>
  <x:mergeCells>
    <x:mergeCell ref="A1:F2"/>
    <x:mergeCell ref="A3:F3"/>
  </x:mergeCells>
  <x:pageMargins left="0.7" right="0.7" top="0.75" bottom="0.75" header="0.3" footer="0.3"/>
</x:worksheet>
</file>